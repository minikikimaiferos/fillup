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atif Outils" sheetId="1" state="visible" r:id="rId3"/>
    <sheet name="Scenarios Budget" sheetId="2" state="visible" r:id="rId4"/>
    <sheet name="Rentabilit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<sst xmlns="http://schemas.openxmlformats.org/spreadsheetml/2006/main" count="229" uniqueCount="164">
  <si>
    <t xml:space="preserve">COMPARATIF OUTILS — Strategie Ads, Social &amp; SEA — Croix100</t>
  </si>
  <si>
    <t xml:space="preserve">AXE</t>
  </si>
  <si>
    <t xml:space="preserve">OUTIL</t>
  </si>
  <si>
    <t xml:space="preserve">PRIX/MOIS</t>
  </si>
  <si>
    <t xml:space="preserve">PRIX/AN</t>
  </si>
  <si>
    <t xml:space="preserve">CE QUE CA DONNE</t>
  </si>
  <si>
    <t xml:space="preserve">RENTABILITE / JUSTIFICATION</t>
  </si>
  <si>
    <t xml:space="preserve">VERDICT</t>
  </si>
  <si>
    <t xml:space="preserve">SEA &amp; MOTS-CLES</t>
  </si>
  <si>
    <t xml:space="preserve">Google Keyword Planner</t>
  </si>
  <si>
    <t xml:space="preserve">GRATUIT</t>
  </si>
  <si>
    <t xml:space="preserve">Volumes de recherche exacts, CPC estimes, saisonnalite. Source = Google directement.</t>
  </si>
  <si>
    <t xml:space="preserve">Indispensable. C'est la source la plus fiable pour les volumes et CPC car les donnees viennent directement de Google.</t>
  </si>
  <si>
    <t xml:space="preserve">INDISPENSABLE</t>
  </si>
  <si>
    <t xml:space="preserve">Google Search Console</t>
  </si>
  <si>
    <t xml:space="preserve">Requetes reelles des visiteurs croix100.com, positions, CTR, impressions. Deja configure.</t>
  </si>
  <si>
    <t xml:space="preserve">Deja en place. Montre les mots-cles ou le site apparait en position 5-20 = opportunites SEA immediates.</t>
  </si>
  <si>
    <t xml:space="preserve">DEJA ACTIF</t>
  </si>
  <si>
    <t xml:space="preserve">SEMrush (Pro)</t>
  </si>
  <si>
    <t xml:space="preserve">140$/mois</t>
  </si>
  <si>
    <t xml:space="preserve">1 410$/an</t>
  </si>
  <si>
    <t xml:space="preserve">Mots-cles payants des concurrents, leur budget estime, historique ads, gap analysis, audit SEO complet, 500 mots-cles trackes.</t>
  </si>
  <si>
    <t xml:space="preserve">1 privatisation gagnee grace a un mot-cle decouvert = 400EUR+. SEMrush se rentabilise en 3 privatisations/an. Aussi utile pour le SEO du site.</t>
  </si>
  <si>
    <t xml:space="preserve">RENTABLE SI PRIV.</t>
  </si>
  <si>
    <t xml:space="preserve">SpyFu (Basic)</t>
  </si>
  <si>
    <t xml:space="preserve">39$/mois</t>
  </si>
  <si>
    <t xml:space="preserve">348$/an</t>
  </si>
  <si>
    <t xml:space="preserve">Historique complet des mots-cles achetes par les concurrents, leur budget, leurs ads. Focus SEA pur.</t>
  </si>
  <si>
    <t xml:space="preserve">Moins cher que SEMrush, tres bon pour espionner les mots-cles SEA concurrents specifiquement. Couverture EU moins forte.</t>
  </si>
  <si>
    <t xml:space="preserve">ALTERNATIVE</t>
  </si>
  <si>
    <t xml:space="preserve">Ahrefs (Starter)</t>
  </si>
  <si>
    <t xml:space="preserve">29$/mois</t>
  </si>
  <si>
    <t xml:space="preserve">Backlinks, mots-cles organiques, audit site, Content Explorer. Le meilleur pour le SEO technique.</t>
  </si>
  <si>
    <t xml:space="preserve">Plus oriente SEO que SEA. Utile si on veut booster le SEO en parallele (articles blog, backlinks). Moins pertinent pour le SEA pur.</t>
  </si>
  <si>
    <t xml:space="preserve">OPTIONNEL</t>
  </si>
  <si>
    <t xml:space="preserve">Ubersuggest (Individual)</t>
  </si>
  <si>
    <t xml:space="preserve">12$/mois</t>
  </si>
  <si>
    <t xml:space="preserve">144$/an</t>
  </si>
  <si>
    <t xml:space="preserve">Suggestions mots-cles, volume, difficulte, audit basique. Version light de SEMrush.</t>
  </si>
  <si>
    <t xml:space="preserve">Tres bon rapport qualite/prix pour demarrer. Limites sur les donnees concurrentielles. Suffisant pour la recherche de mots-cles basique.</t>
  </si>
  <si>
    <t xml:space="preserve">BUDGET SERRE</t>
  </si>
  <si>
    <t xml:space="preserve">SE Ranking (Essential)</t>
  </si>
  <si>
    <t xml:space="preserve">65$/mois</t>
  </si>
  <si>
    <t xml:space="preserve">624$/an</t>
  </si>
  <si>
    <t xml:space="preserve">Tracking mots-cles, audit SEO, analyse concurrents, rapport automatise. Interface claire.</t>
  </si>
  <si>
    <t xml:space="preserve">Bon compromis entre SEMrush et Ubersuggest. Tracking de positions precis. Convient pour suivre les resultats SEA + SEO.</t>
  </si>
  <si>
    <t xml:space="preserve">BON COMPROMIS</t>
  </si>
  <si>
    <t xml:space="preserve">SOCIAL ADS SPY</t>
  </si>
  <si>
    <t xml:space="preserve">Meta Ad Library</t>
  </si>
  <si>
    <t xml:space="preserve">Toutes les pubs actives de n'importe quel annonceur sur Meta. Recherche par nom, pays, categorie.</t>
  </si>
  <si>
    <t xml:space="preserve">Indispensable et gratuit. Voir exactement ce que les concurrents font tourner en ce moment sur Facebook/Instagram.</t>
  </si>
  <si>
    <t xml:space="preserve">TikTok Creative Center</t>
  </si>
  <si>
    <t xml:space="preserve">Top ads TikTok, tendances, hashtags trending, insights par secteur. Filtrage par pays.</t>
  </si>
  <si>
    <t xml:space="preserve">Indispensable pour la strategie TikTok First. Gratuit. Montre ce qui marche dans le secteur food/events.</t>
  </si>
  <si>
    <t xml:space="preserve">Minea (Starter)</t>
  </si>
  <si>
    <t xml:space="preserve">49$/mois</t>
  </si>
  <si>
    <t xml:space="preserve">408$/an</t>
  </si>
  <si>
    <t xml:space="preserve">Spy ads Meta + TikTok + Pinterest. 900M+ ads trackees. Filtrage par niche, pays, engagement.</t>
  </si>
  <si>
    <t xml:space="preserve">1 concept d'ad gagnant copie et adapte peut generer des centaines d'EUR. L'outil paie si on l'utilise pour creer des ads performantes.</t>
  </si>
  <si>
    <t xml:space="preserve">UTILE</t>
  </si>
  <si>
    <t xml:space="preserve">Minea (Premium)</t>
  </si>
  <si>
    <t xml:space="preserve">99$/mois</t>
  </si>
  <si>
    <t xml:space="preserve">828$/an</t>
  </si>
  <si>
    <t xml:space="preserve">Tout Starter + Trending Shops, analyse Shopify, insights avances, 100K credits.</t>
  </si>
  <si>
    <t xml:space="preserve">Le Premium ajoute des features e-commerce pas pertinentes pour un restaurant. Starter suffit.</t>
  </si>
  <si>
    <t xml:space="preserve">OVERKILL</t>
  </si>
  <si>
    <t xml:space="preserve">Foreplay (Inspiration)</t>
  </si>
  <si>
    <t xml:space="preserve">588$/an</t>
  </si>
  <si>
    <t xml:space="preserve">Sauvegarde ads dans des boards, organisation par theme/client. Extension Chrome pour Ad Library.</t>
  </si>
  <si>
    <t xml:space="preserve">Utile pour organiser les references. Mais un simple Google Drive ou Notion fait le meme travail gratuitement.</t>
  </si>
  <si>
    <t xml:space="preserve">REMPLACABLE</t>
  </si>
  <si>
    <t xml:space="preserve">AdSpy</t>
  </si>
  <si>
    <t xml:space="preserve">149$/mois</t>
  </si>
  <si>
    <t xml:space="preserve">1 788$/an</t>
  </si>
  <si>
    <t xml:space="preserve">174M+ ads Facebook/Instagram. Recherche avancee par engagement, demographics, landing page.</t>
  </si>
  <si>
    <t xml:space="preserve">Le plus cher des spy tools. Base massive mais overlap avec Meta Ad Library (gratuit) + Minea. Dur a justifier.</t>
  </si>
  <si>
    <t xml:space="preserve">TROP CHER</t>
  </si>
  <si>
    <t xml:space="preserve">ANALYTICS &amp; TRACKING</t>
  </si>
  <si>
    <t xml:space="preserve">Google Analytics 4</t>
  </si>
  <si>
    <t xml:space="preserve">Trafic site, comportement utilisateur, conversions, attribution. Standard du marche.</t>
  </si>
  <si>
    <t xml:space="preserve">Absolument indispensable. Mesure tout : d'ou vient le trafic, quelles pages convertissent, quel canal performe.</t>
  </si>
  <si>
    <t xml:space="preserve">Google Ads (plateforme)</t>
  </si>
  <si>
    <t xml:space="preserve">Gestion campagnes SEA, Auction Insights, Search Terms report, conversion tracking.</t>
  </si>
  <si>
    <t xml:space="preserve">C'est la plateforme elle-meme. Gratuit a utiliser, on ne paie que les clics. Les rapports internes sont tres fiables.</t>
  </si>
  <si>
    <t xml:space="preserve">Meta Business Suite</t>
  </si>
  <si>
    <t xml:space="preserve">Gestion pubs Meta, audiences, analytics Instagram/Facebook, pixel tracking.</t>
  </si>
  <si>
    <t xml:space="preserve">Gratuit. Necessaire pour gerer les campagnes Meta et le retargeting.</t>
  </si>
  <si>
    <t xml:space="preserve">TikTok Ads Manager</t>
  </si>
  <si>
    <t xml:space="preserve">Gestion campagnes TikTok, pixel, audiences, analytics video (hook rate, watch time).</t>
  </si>
  <si>
    <t xml:space="preserve">Gratuit. Necessaire pour les campagnes paid TikTok et le tracking.</t>
  </si>
  <si>
    <t xml:space="preserve">PRODUCTION CREATIVE</t>
  </si>
  <si>
    <t xml:space="preserve">CapCut</t>
  </si>
  <si>
    <t xml:space="preserve">Montage video rapide, templates, sous-titres auto, effets. Ideal pour les formats courts TikTok/Reels.</t>
  </si>
  <si>
    <t xml:space="preserve">Gratuit et suffisant pour produire les 28 videos/mois. Le videaste peut s'en servir directement.</t>
  </si>
  <si>
    <t xml:space="preserve">CapCut Pro</t>
  </si>
  <si>
    <t xml:space="preserve">8$/mois</t>
  </si>
  <si>
    <t xml:space="preserve">96$/an</t>
  </si>
  <si>
    <t xml:space="preserve">Tout gratuit + suppression fond, assets premium, stockage cloud, export sans watermark.</t>
  </si>
  <si>
    <t xml:space="preserve">Le passage au Pro se justifie si le watermark ou les limitations du gratuit posent probleme. Tres abordable.</t>
  </si>
  <si>
    <t xml:space="preserve">SI BESOIN</t>
  </si>
  <si>
    <t xml:space="preserve">Canva Pro</t>
  </si>
  <si>
    <t xml:space="preserve">13$/mois</t>
  </si>
  <si>
    <t xml:space="preserve">120$/an</t>
  </si>
  <si>
    <t xml:space="preserve">Design graphique, templates, brand kit, redimensionnement auto, fond transparent.</t>
  </si>
  <si>
    <t xml:space="preserve">Utile pour les visuels statiques (stories, posts carres, covers). Pas necessaire si le focus est video.</t>
  </si>
  <si>
    <t xml:space="preserve">SCENARIOS DE STACK — Combien ca coute par mois ?</t>
  </si>
  <si>
    <t xml:space="preserve">SCENARIO 1 : Stack 100% gratuite</t>
  </si>
  <si>
    <t xml:space="preserve">ECONOMIE/AN</t>
  </si>
  <si>
    <t xml:space="preserve">LIMITES</t>
  </si>
  <si>
    <t xml:space="preserve">-</t>
  </si>
  <si>
    <t xml:space="preserve">Volumes arrondis (fourchettes), pas de donnees concurrentielles detaillees</t>
  </si>
  <si>
    <t xml:space="preserve">Uniquement les requetes ou croix100.com apparait deja</t>
  </si>
  <si>
    <t xml:space="preserve">Aucune limite pertinente</t>
  </si>
  <si>
    <t xml:space="preserve">Pas de metriques d'engagement, juste les creatives actives</t>
  </si>
  <si>
    <t xml:space="preserve">Tendances generales, pas d'analyse par annonceur</t>
  </si>
  <si>
    <t xml:space="preserve">CapCut (gratuit)</t>
  </si>
  <si>
    <t xml:space="preserve">Watermark sur certains exports, stockage limite</t>
  </si>
  <si>
    <t xml:space="preserve">TOTAL SCENARIO 1</t>
  </si>
  <si>
    <t xml:space="preserve">Suffisant pour demarrer et tester. Manque l'intelligence concurrentielle.</t>
  </si>
  <si>
    <t xml:space="preserve">SCENARIO 2 : Stack optimale (recommande)</t>
  </si>
  <si>
    <t xml:space="preserve">Tout le gratuit (9 outils)</t>
  </si>
  <si>
    <t xml:space="preserve">Fondation complete, tracking, analytics</t>
  </si>
  <si>
    <t xml:space="preserve">SEMrush Pro</t>
  </si>
  <si>
    <t xml:space="preserve">Intelligence concurrentielle SEA + SEO. Justifie si 3-4 privatisations/an generees grace aux insights.</t>
  </si>
  <si>
    <t xml:space="preserve">Minea Starter</t>
  </si>
  <si>
    <t xml:space="preserve">Spy ads social. 1 concept d'ad gagnant vaut plus que l'abo.</t>
  </si>
  <si>
    <t xml:space="preserve">Production video propre sans watermark.</t>
  </si>
  <si>
    <t xml:space="preserve">TOTAL SCENARIO 2</t>
  </si>
  <si>
    <t xml:space="preserve">Couvre SEA + Social Ads + Production. Se rentabilise avec ~5 privatisations/an.</t>
  </si>
  <si>
    <t xml:space="preserve">SCENARIO 3 : Stack maximale (scaling agressif)</t>
  </si>
  <si>
    <t xml:space="preserve">Fondation</t>
  </si>
  <si>
    <t xml:space="preserve">SEA + SEO intelligence concurrentielle complete</t>
  </si>
  <si>
    <t xml:space="preserve">Minea Premium</t>
  </si>
  <si>
    <t xml:space="preserve">Spy ads avance avec trending shops et insights approfondis</t>
  </si>
  <si>
    <t xml:space="preserve">SpyFu Basic</t>
  </si>
  <si>
    <t xml:space="preserve">Complement SEMrush : historique SEA des concurrents, evolution dans le temps</t>
  </si>
  <si>
    <t xml:space="preserve">Foreplay Full Workflow</t>
  </si>
  <si>
    <t xml:space="preserve">Organisation ads + AI briefs creatifs</t>
  </si>
  <si>
    <t xml:space="preserve">Production video</t>
  </si>
  <si>
    <t xml:space="preserve">Visuels statiques, brand kit</t>
  </si>
  <si>
    <t xml:space="preserve">TOTAL SCENARIO 3</t>
  </si>
  <si>
    <t xml:space="preserve">Couverture totale. Justifie seulement si budget ads &gt; 2000EUR/mois et scaling actif.</t>
  </si>
  <si>
    <t xml:space="preserve">ANALYSE DE RENTABILITE — Quand est-ce que les outils se remboursent ?</t>
  </si>
  <si>
    <t xml:space="preserve">La logique est simple :</t>
  </si>
  <si>
    <t xml:space="preserve">Chaque outil payant doit generer plus de revenus qu'il ne coute.</t>
  </si>
  <si>
    <t xml:space="preserve">On calcule le nombre de conversions necessaires pour rembourser l'abo.</t>
  </si>
  <si>
    <t xml:space="preserve">OUTIL PAYANT</t>
  </si>
  <si>
    <t xml:space="preserve">COUT/MOIS</t>
  </si>
  <si>
    <t xml:space="preserve">REVENU MOYEN/CONVERSION</t>
  </si>
  <si>
    <t xml:space="preserve">MARGE ESTIMEE</t>
  </si>
  <si>
    <t xml:space="preserve">CONVERSIONS POUR BREAKEVEN</t>
  </si>
  <si>
    <t xml:space="preserve">BREAKEVEN/MOIS</t>
  </si>
  <si>
    <t xml:space="preserve">SEMrush Pro (aide a trouver des privatisations)</t>
  </si>
  <si>
    <t xml:space="preserve">SEMrush Pro (aide a trouver des leads B2B livraison)</t>
  </si>
  <si>
    <t xml:space="preserve">Minea Starter (aide a creer des ads qui convertissent)</t>
  </si>
  <si>
    <t xml:space="preserve">Minea Starter (pour ads B2B livraison)</t>
  </si>
  <si>
    <t xml:space="preserve">SpyFu Basic (complement SEA)</t>
  </si>
  <si>
    <t xml:space="preserve">CONCLUSION :</t>
  </si>
  <si>
    <t xml:space="preserve">SEMrush : se rembourse avec 1 privatisation/mois (tres faisable)</t>
  </si>
  <si>
    <t xml:space="preserve">Minea : se rembourse avec 1 privatisation/mois ou quelques leads B2B</t>
  </si>
  <si>
    <t xml:space="preserve">SpyFu : se rembourse avec 1 privatisation tous les 6 mois (facile)</t>
  </si>
  <si>
    <t xml:space="preserve">CapCut Pro : 8EUR/mois = negligeable, toujours rentable</t>
  </si>
  <si>
    <t xml:space="preserve">Stack recommandee (Scenario 2) = ~187EUR/mois</t>
  </si>
  <si>
    <t xml:space="preserve">Se rembourse des la premiere privatisation generee par mois. Tout le reste = profit.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</si>
</sst>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&quot; €&quot;"/>
    <numFmt numFmtId="166" formatCode="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7C3AE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A1A2E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b val="true"/>
      <sz val="10"/>
      <color rgb="FF16A34A"/>
      <name val="Arial"/>
      <family val="0"/>
      <charset val="1"/>
    </font>
    <font>
      <sz val="10"/>
      <color rgb="FF374151"/>
      <name val="Arial"/>
      <family val="0"/>
      <charset val="1"/>
    </font>
    <font>
      <b val="true"/>
      <sz val="10"/>
      <color rgb="FFDC2626"/>
      <name val="Arial"/>
      <family val="0"/>
      <charset val="1"/>
    </font>
    <font>
      <b val="true"/>
      <sz val="12"/>
      <color rgb="FF16A34A"/>
      <name val="Arial"/>
      <family val="0"/>
      <charset val="1"/>
    </font>
    <font>
      <b val="true"/>
      <sz val="11"/>
      <color rgb="FF16A34A"/>
      <name val="Arial"/>
      <family val="0"/>
      <charset val="1"/>
    </font>
    <font>
      <i val="true"/>
      <sz val="10"/>
      <color rgb="FF374151"/>
      <name val="Arial"/>
      <family val="0"/>
      <charset val="1"/>
    </font>
    <font>
      <b val="true"/>
      <sz val="12"/>
      <color rgb="FF7C3AED"/>
      <name val="Arial"/>
      <family val="0"/>
      <charset val="1"/>
    </font>
    <font>
      <b val="true"/>
      <sz val="11"/>
      <color rgb="FF7C3AED"/>
      <name val="Arial"/>
      <family val="0"/>
      <charset val="1"/>
    </font>
    <font>
      <b val="true"/>
      <sz val="12"/>
      <color rgb="FFDC2626"/>
      <name val="Arial"/>
      <family val="0"/>
      <charset val="1"/>
    </font>
    <font>
      <b val="true"/>
      <sz val="11"/>
      <color rgb="FFDC2626"/>
      <name val="Arial"/>
      <family val="0"/>
      <charset val="1"/>
    </font>
    <font>
      <i val="true"/>
      <sz val="11"/>
      <color rgb="FF374151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A1A2E"/>
        <bgColor rgb="FF003300"/>
      </patternFill>
    </fill>
    <fill>
      <patternFill patternType="solid">
        <fgColor rgb="FFEDE9FE"/>
        <bgColor rgb="FFE5E7EB"/>
      </patternFill>
    </fill>
    <fill>
      <patternFill patternType="solid">
        <fgColor rgb="FFD1FAE5"/>
        <bgColor rgb="FFDBEAFE"/>
      </patternFill>
    </fill>
    <fill>
      <patternFill patternType="solid">
        <fgColor rgb="FFFFFFFF"/>
        <bgColor rgb="FFF3F4F6"/>
      </patternFill>
    </fill>
    <fill>
      <patternFill patternType="solid">
        <fgColor rgb="FFFEF3C7"/>
        <bgColor rgb="FFFEE2E2"/>
      </patternFill>
    </fill>
    <fill>
      <patternFill patternType="solid">
        <fgColor rgb="FFDBEAFE"/>
        <bgColor rgb="FFE5E7EB"/>
      </patternFill>
    </fill>
    <fill>
      <patternFill patternType="solid">
        <fgColor rgb="FFF3F4F6"/>
        <bgColor rgb="FFEDE9FE"/>
      </patternFill>
    </fill>
    <fill>
      <patternFill patternType="solid">
        <fgColor rgb="FFFEE2E2"/>
        <bgColor rgb="FFEDE9FE"/>
      </patternFill>
    </fill>
    <fill>
      <patternFill patternType="solid">
        <fgColor rgb="FFA7F3D0"/>
        <bgColor rgb="FFD1FAE5"/>
      </patternFill>
    </fill>
    <fill>
      <patternFill patternType="solid">
        <fgColor rgb="FFDDD6FE"/>
        <bgColor rgb="FFE5E7EB"/>
      </patternFill>
    </fill>
    <fill>
      <patternFill patternType="solid">
        <fgColor rgb="FFFECACA"/>
        <bgColor rgb="FFFEE2E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5E7EB"/>
      <rgbColor rgb="FF808080"/>
      <rgbColor rgb="FF9999FF"/>
      <rgbColor rgb="FF993366"/>
      <rgbColor rgb="FFFEF3C7"/>
      <rgbColor rgb="FFDBEAFE"/>
      <rgbColor rgb="FF660066"/>
      <rgbColor rgb="FFFF8080"/>
      <rgbColor rgb="FF0066CC"/>
      <rgbColor rgb="FFDDD6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D1FAE5"/>
      <rgbColor rgb="FFFEE2E2"/>
      <rgbColor rgb="FFA7F3D0"/>
      <rgbColor rgb="FFFF99CC"/>
      <rgbColor rgb="FFEDE9FE"/>
      <rgbColor rgb="FFFECACA"/>
      <rgbColor rgb="FF3366FF"/>
      <rgbColor rgb="FF33CCCC"/>
      <rgbColor rgb="FF99CC00"/>
      <rgbColor rgb="FFFFCC00"/>
      <rgbColor rgb="FFFF9900"/>
      <rgbColor rgb="FFFF6600"/>
      <rgbColor rgb="FF7C3AED"/>
      <rgbColor rgb="FF969696"/>
      <rgbColor rgb="FF003366"/>
      <rgbColor rgb="FF16A34A"/>
      <rgbColor rgb="FF003300"/>
      <rgbColor rgb="FF1A1A2E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4" min="3" style="0" width="16"/>
    <col collapsed="false" customWidth="true" hidden="false" outlineLevel="0" max="5" min="5" style="0" width="40"/>
    <col collapsed="false" customWidth="true" hidden="false" outlineLevel="0" max="6" min="6" style="0" width="45"/>
    <col collapsed="false" customWidth="true" hidden="false" outlineLevel="0" max="7" min="7" style="0" width="18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30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customFormat="false" ht="54.75" hidden="false" customHeight="true" outlineLevel="0" collapsed="false">
      <c r="A4" s="3" t="s">
        <v>8</v>
      </c>
      <c r="B4" s="4" t="s">
        <v>9</v>
      </c>
      <c r="C4" s="5" t="s">
        <v>10</v>
      </c>
      <c r="D4" s="5" t="s">
        <v>10</v>
      </c>
      <c r="E4" s="6" t="s">
        <v>11</v>
      </c>
      <c r="F4" s="6" t="s">
        <v>12</v>
      </c>
      <c r="G4" s="7" t="s">
        <v>13</v>
      </c>
    </row>
    <row r="5" customFormat="false" ht="54.75" hidden="false" customHeight="true" outlineLevel="0" collapsed="false">
      <c r="A5" s="8"/>
      <c r="B5" s="4" t="s">
        <v>14</v>
      </c>
      <c r="C5" s="5" t="s">
        <v>10</v>
      </c>
      <c r="D5" s="5" t="s">
        <v>10</v>
      </c>
      <c r="E5" s="6" t="s">
        <v>15</v>
      </c>
      <c r="F5" s="6" t="s">
        <v>16</v>
      </c>
      <c r="G5" s="7" t="s">
        <v>17</v>
      </c>
    </row>
    <row r="6" customFormat="false" ht="54.75" hidden="false" customHeight="true" outlineLevel="0" collapsed="false">
      <c r="A6" s="8"/>
      <c r="B6" s="9" t="s">
        <v>18</v>
      </c>
      <c r="C6" s="10" t="s">
        <v>19</v>
      </c>
      <c r="D6" s="10" t="s">
        <v>20</v>
      </c>
      <c r="E6" s="11" t="s">
        <v>21</v>
      </c>
      <c r="F6" s="11" t="s">
        <v>22</v>
      </c>
      <c r="G6" s="12" t="s">
        <v>23</v>
      </c>
    </row>
    <row r="7" customFormat="false" ht="54.75" hidden="false" customHeight="true" outlineLevel="0" collapsed="false">
      <c r="A7" s="8"/>
      <c r="B7" s="13" t="s">
        <v>24</v>
      </c>
      <c r="C7" s="14" t="s">
        <v>25</v>
      </c>
      <c r="D7" s="14" t="s">
        <v>26</v>
      </c>
      <c r="E7" s="15" t="s">
        <v>27</v>
      </c>
      <c r="F7" s="15" t="s">
        <v>28</v>
      </c>
      <c r="G7" s="16" t="s">
        <v>29</v>
      </c>
    </row>
    <row r="8" customFormat="false" ht="54.75" hidden="false" customHeight="true" outlineLevel="0" collapsed="false">
      <c r="A8" s="8"/>
      <c r="B8" s="17" t="s">
        <v>30</v>
      </c>
      <c r="C8" s="18" t="s">
        <v>31</v>
      </c>
      <c r="D8" s="18" t="s">
        <v>26</v>
      </c>
      <c r="E8" s="19" t="s">
        <v>32</v>
      </c>
      <c r="F8" s="19" t="s">
        <v>33</v>
      </c>
      <c r="G8" s="20" t="s">
        <v>34</v>
      </c>
    </row>
    <row r="9" customFormat="false" ht="54.75" hidden="false" customHeight="true" outlineLevel="0" collapsed="false">
      <c r="A9" s="8"/>
      <c r="B9" s="13" t="s">
        <v>35</v>
      </c>
      <c r="C9" s="14" t="s">
        <v>36</v>
      </c>
      <c r="D9" s="14" t="s">
        <v>37</v>
      </c>
      <c r="E9" s="15" t="s">
        <v>38</v>
      </c>
      <c r="F9" s="15" t="s">
        <v>39</v>
      </c>
      <c r="G9" s="16" t="s">
        <v>40</v>
      </c>
    </row>
    <row r="10" customFormat="false" ht="54.75" hidden="false" customHeight="true" outlineLevel="0" collapsed="false">
      <c r="A10" s="8"/>
      <c r="B10" s="13" t="s">
        <v>41</v>
      </c>
      <c r="C10" s="14" t="s">
        <v>42</v>
      </c>
      <c r="D10" s="14" t="s">
        <v>43</v>
      </c>
      <c r="E10" s="15" t="s">
        <v>44</v>
      </c>
      <c r="F10" s="15" t="s">
        <v>45</v>
      </c>
      <c r="G10" s="16" t="s">
        <v>46</v>
      </c>
    </row>
    <row r="11" customFormat="false" ht="54.75" hidden="false" customHeight="true" outlineLevel="0" collapsed="false">
      <c r="A11" s="3" t="s">
        <v>47</v>
      </c>
      <c r="B11" s="4" t="s">
        <v>48</v>
      </c>
      <c r="C11" s="5" t="s">
        <v>10</v>
      </c>
      <c r="D11" s="5" t="s">
        <v>10</v>
      </c>
      <c r="E11" s="6" t="s">
        <v>49</v>
      </c>
      <c r="F11" s="6" t="s">
        <v>50</v>
      </c>
      <c r="G11" s="7" t="s">
        <v>13</v>
      </c>
    </row>
    <row r="12" customFormat="false" ht="54.75" hidden="false" customHeight="true" outlineLevel="0" collapsed="false">
      <c r="A12" s="8"/>
      <c r="B12" s="4" t="s">
        <v>51</v>
      </c>
      <c r="C12" s="5" t="s">
        <v>10</v>
      </c>
      <c r="D12" s="5" t="s">
        <v>10</v>
      </c>
      <c r="E12" s="6" t="s">
        <v>52</v>
      </c>
      <c r="F12" s="6" t="s">
        <v>53</v>
      </c>
      <c r="G12" s="7" t="s">
        <v>13</v>
      </c>
    </row>
    <row r="13" customFormat="false" ht="54.75" hidden="false" customHeight="true" outlineLevel="0" collapsed="false">
      <c r="A13" s="8"/>
      <c r="B13" s="9" t="s">
        <v>54</v>
      </c>
      <c r="C13" s="10" t="s">
        <v>55</v>
      </c>
      <c r="D13" s="10" t="s">
        <v>56</v>
      </c>
      <c r="E13" s="11" t="s">
        <v>57</v>
      </c>
      <c r="F13" s="11" t="s">
        <v>58</v>
      </c>
      <c r="G13" s="12" t="s">
        <v>59</v>
      </c>
    </row>
    <row r="14" customFormat="false" ht="54.75" hidden="false" customHeight="true" outlineLevel="0" collapsed="false">
      <c r="A14" s="8"/>
      <c r="B14" s="21" t="s">
        <v>60</v>
      </c>
      <c r="C14" s="22" t="s">
        <v>61</v>
      </c>
      <c r="D14" s="22" t="s">
        <v>62</v>
      </c>
      <c r="E14" s="23" t="s">
        <v>63</v>
      </c>
      <c r="F14" s="23" t="s">
        <v>64</v>
      </c>
      <c r="G14" s="24" t="s">
        <v>65</v>
      </c>
    </row>
    <row r="15" customFormat="false" ht="54.75" hidden="false" customHeight="true" outlineLevel="0" collapsed="false">
      <c r="A15" s="8"/>
      <c r="B15" s="17" t="s">
        <v>66</v>
      </c>
      <c r="C15" s="18" t="s">
        <v>55</v>
      </c>
      <c r="D15" s="18" t="s">
        <v>67</v>
      </c>
      <c r="E15" s="19" t="s">
        <v>68</v>
      </c>
      <c r="F15" s="19" t="s">
        <v>69</v>
      </c>
      <c r="G15" s="20" t="s">
        <v>70</v>
      </c>
    </row>
    <row r="16" customFormat="false" ht="54.75" hidden="false" customHeight="true" outlineLevel="0" collapsed="false">
      <c r="A16" s="8"/>
      <c r="B16" s="21" t="s">
        <v>71</v>
      </c>
      <c r="C16" s="22" t="s">
        <v>72</v>
      </c>
      <c r="D16" s="22" t="s">
        <v>73</v>
      </c>
      <c r="E16" s="23" t="s">
        <v>74</v>
      </c>
      <c r="F16" s="23" t="s">
        <v>75</v>
      </c>
      <c r="G16" s="24" t="s">
        <v>76</v>
      </c>
    </row>
    <row r="17" customFormat="false" ht="54.75" hidden="false" customHeight="true" outlineLevel="0" collapsed="false">
      <c r="A17" s="3" t="s">
        <v>77</v>
      </c>
      <c r="B17" s="4" t="s">
        <v>78</v>
      </c>
      <c r="C17" s="5" t="s">
        <v>10</v>
      </c>
      <c r="D17" s="5" t="s">
        <v>10</v>
      </c>
      <c r="E17" s="6" t="s">
        <v>79</v>
      </c>
      <c r="F17" s="6" t="s">
        <v>80</v>
      </c>
      <c r="G17" s="7" t="s">
        <v>13</v>
      </c>
    </row>
    <row r="18" customFormat="false" ht="54.75" hidden="false" customHeight="true" outlineLevel="0" collapsed="false">
      <c r="A18" s="8"/>
      <c r="B18" s="4" t="s">
        <v>81</v>
      </c>
      <c r="C18" s="5" t="s">
        <v>10</v>
      </c>
      <c r="D18" s="5" t="s">
        <v>10</v>
      </c>
      <c r="E18" s="6" t="s">
        <v>82</v>
      </c>
      <c r="F18" s="6" t="s">
        <v>83</v>
      </c>
      <c r="G18" s="7" t="s">
        <v>13</v>
      </c>
    </row>
    <row r="19" customFormat="false" ht="54.75" hidden="false" customHeight="true" outlineLevel="0" collapsed="false">
      <c r="A19" s="8"/>
      <c r="B19" s="4" t="s">
        <v>84</v>
      </c>
      <c r="C19" s="5" t="s">
        <v>10</v>
      </c>
      <c r="D19" s="5" t="s">
        <v>10</v>
      </c>
      <c r="E19" s="6" t="s">
        <v>85</v>
      </c>
      <c r="F19" s="6" t="s">
        <v>86</v>
      </c>
      <c r="G19" s="7" t="s">
        <v>13</v>
      </c>
    </row>
    <row r="20" customFormat="false" ht="54.75" hidden="false" customHeight="true" outlineLevel="0" collapsed="false">
      <c r="A20" s="8"/>
      <c r="B20" s="4" t="s">
        <v>87</v>
      </c>
      <c r="C20" s="5" t="s">
        <v>10</v>
      </c>
      <c r="D20" s="5" t="s">
        <v>10</v>
      </c>
      <c r="E20" s="6" t="s">
        <v>88</v>
      </c>
      <c r="F20" s="6" t="s">
        <v>89</v>
      </c>
      <c r="G20" s="7" t="s">
        <v>13</v>
      </c>
    </row>
    <row r="21" customFormat="false" ht="54.75" hidden="false" customHeight="true" outlineLevel="0" collapsed="false">
      <c r="A21" s="3" t="s">
        <v>90</v>
      </c>
      <c r="B21" s="4" t="s">
        <v>91</v>
      </c>
      <c r="C21" s="5" t="s">
        <v>10</v>
      </c>
      <c r="D21" s="5" t="s">
        <v>10</v>
      </c>
      <c r="E21" s="6" t="s">
        <v>92</v>
      </c>
      <c r="F21" s="6" t="s">
        <v>93</v>
      </c>
      <c r="G21" s="7" t="s">
        <v>13</v>
      </c>
    </row>
    <row r="22" customFormat="false" ht="54.75" hidden="false" customHeight="true" outlineLevel="0" collapsed="false">
      <c r="A22" s="8"/>
      <c r="B22" s="13" t="s">
        <v>94</v>
      </c>
      <c r="C22" s="14" t="s">
        <v>95</v>
      </c>
      <c r="D22" s="14" t="s">
        <v>96</v>
      </c>
      <c r="E22" s="15" t="s">
        <v>97</v>
      </c>
      <c r="F22" s="15" t="s">
        <v>98</v>
      </c>
      <c r="G22" s="16" t="s">
        <v>99</v>
      </c>
    </row>
    <row r="23" customFormat="false" ht="54.75" hidden="false" customHeight="true" outlineLevel="0" collapsed="false">
      <c r="A23" s="8"/>
      <c r="B23" s="17" t="s">
        <v>100</v>
      </c>
      <c r="C23" s="18" t="s">
        <v>101</v>
      </c>
      <c r="D23" s="18" t="s">
        <v>102</v>
      </c>
      <c r="E23" s="19" t="s">
        <v>103</v>
      </c>
      <c r="F23" s="19" t="s">
        <v>104</v>
      </c>
      <c r="G23" s="20" t="s">
        <v>34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8"/>
    <col collapsed="false" customWidth="true" hidden="false" outlineLevel="0" max="5" min="5" style="0" width="45"/>
  </cols>
  <sheetData>
    <row r="1" customFormat="false" ht="34.5" hidden="false" customHeight="true" outlineLevel="0" collapsed="false">
      <c r="A1" s="1" t="s">
        <v>105</v>
      </c>
      <c r="B1" s="1"/>
      <c r="C1" s="1"/>
      <c r="D1" s="1"/>
      <c r="E1" s="1"/>
    </row>
    <row r="3" customFormat="false" ht="15" hidden="false" customHeight="false" outlineLevel="0" collapsed="false">
      <c r="A3" s="25" t="s">
        <v>106</v>
      </c>
      <c r="B3" s="25"/>
      <c r="C3" s="25"/>
      <c r="D3" s="25"/>
      <c r="E3" s="25"/>
    </row>
    <row r="4" customFormat="false" ht="15" hidden="false" customHeight="false" outlineLevel="0" collapsed="false">
      <c r="A4" s="2" t="s">
        <v>2</v>
      </c>
      <c r="B4" s="2" t="s">
        <v>3</v>
      </c>
      <c r="C4" s="2" t="s">
        <v>4</v>
      </c>
      <c r="D4" s="2" t="s">
        <v>107</v>
      </c>
      <c r="E4" s="2" t="s">
        <v>108</v>
      </c>
    </row>
    <row r="5" customFormat="false" ht="34.5" hidden="false" customHeight="true" outlineLevel="0" collapsed="false">
      <c r="A5" s="4" t="s">
        <v>9</v>
      </c>
      <c r="B5" s="26" t="n">
        <v>0</v>
      </c>
      <c r="C5" s="26" t="n">
        <v>0</v>
      </c>
      <c r="D5" s="27" t="s">
        <v>109</v>
      </c>
      <c r="E5" s="6" t="s">
        <v>110</v>
      </c>
    </row>
    <row r="6" customFormat="false" ht="34.5" hidden="false" customHeight="true" outlineLevel="0" collapsed="false">
      <c r="A6" s="4" t="s">
        <v>14</v>
      </c>
      <c r="B6" s="26" t="n">
        <v>0</v>
      </c>
      <c r="C6" s="26" t="n">
        <v>0</v>
      </c>
      <c r="D6" s="27" t="s">
        <v>109</v>
      </c>
      <c r="E6" s="6" t="s">
        <v>111</v>
      </c>
    </row>
    <row r="7" customFormat="false" ht="34.5" hidden="false" customHeight="true" outlineLevel="0" collapsed="false">
      <c r="A7" s="4" t="s">
        <v>78</v>
      </c>
      <c r="B7" s="26" t="n">
        <v>0</v>
      </c>
      <c r="C7" s="26" t="n">
        <v>0</v>
      </c>
      <c r="D7" s="27" t="s">
        <v>109</v>
      </c>
      <c r="E7" s="6" t="s">
        <v>112</v>
      </c>
    </row>
    <row r="8" customFormat="false" ht="34.5" hidden="false" customHeight="true" outlineLevel="0" collapsed="false">
      <c r="A8" s="4" t="s">
        <v>48</v>
      </c>
      <c r="B8" s="26" t="n">
        <v>0</v>
      </c>
      <c r="C8" s="26" t="n">
        <v>0</v>
      </c>
      <c r="D8" s="27" t="s">
        <v>109</v>
      </c>
      <c r="E8" s="6" t="s">
        <v>113</v>
      </c>
    </row>
    <row r="9" customFormat="false" ht="34.5" hidden="false" customHeight="true" outlineLevel="0" collapsed="false">
      <c r="A9" s="4" t="s">
        <v>51</v>
      </c>
      <c r="B9" s="26" t="n">
        <v>0</v>
      </c>
      <c r="C9" s="26" t="n">
        <v>0</v>
      </c>
      <c r="D9" s="27" t="s">
        <v>109</v>
      </c>
      <c r="E9" s="6" t="s">
        <v>114</v>
      </c>
    </row>
    <row r="10" customFormat="false" ht="34.5" hidden="false" customHeight="true" outlineLevel="0" collapsed="false">
      <c r="A10" s="4" t="s">
        <v>84</v>
      </c>
      <c r="B10" s="26" t="n">
        <v>0</v>
      </c>
      <c r="C10" s="26" t="n">
        <v>0</v>
      </c>
      <c r="D10" s="27" t="s">
        <v>109</v>
      </c>
      <c r="E10" s="6" t="s">
        <v>112</v>
      </c>
    </row>
    <row r="11" customFormat="false" ht="34.5" hidden="false" customHeight="true" outlineLevel="0" collapsed="false">
      <c r="A11" s="4" t="s">
        <v>87</v>
      </c>
      <c r="B11" s="26" t="n">
        <v>0</v>
      </c>
      <c r="C11" s="26" t="n">
        <v>0</v>
      </c>
      <c r="D11" s="27" t="s">
        <v>109</v>
      </c>
      <c r="E11" s="6" t="s">
        <v>112</v>
      </c>
    </row>
    <row r="12" customFormat="false" ht="34.5" hidden="false" customHeight="true" outlineLevel="0" collapsed="false">
      <c r="A12" s="4" t="s">
        <v>81</v>
      </c>
      <c r="B12" s="26" t="n">
        <v>0</v>
      </c>
      <c r="C12" s="26" t="n">
        <v>0</v>
      </c>
      <c r="D12" s="27" t="s">
        <v>109</v>
      </c>
      <c r="E12" s="6" t="s">
        <v>112</v>
      </c>
    </row>
    <row r="13" customFormat="false" ht="34.5" hidden="false" customHeight="true" outlineLevel="0" collapsed="false">
      <c r="A13" s="4" t="s">
        <v>115</v>
      </c>
      <c r="B13" s="26" t="n">
        <v>0</v>
      </c>
      <c r="C13" s="26" t="n">
        <v>0</v>
      </c>
      <c r="D13" s="27" t="s">
        <v>109</v>
      </c>
      <c r="E13" s="6" t="s">
        <v>116</v>
      </c>
    </row>
    <row r="14" customFormat="false" ht="30" hidden="false" customHeight="true" outlineLevel="0" collapsed="false">
      <c r="A14" s="28" t="s">
        <v>117</v>
      </c>
      <c r="B14" s="29" t="n">
        <v>0</v>
      </c>
      <c r="C14" s="29" t="n">
        <v>0</v>
      </c>
      <c r="D14" s="30"/>
      <c r="E14" s="31" t="s">
        <v>118</v>
      </c>
    </row>
    <row r="16" customFormat="false" ht="15" hidden="false" customHeight="false" outlineLevel="0" collapsed="false">
      <c r="A16" s="32" t="s">
        <v>119</v>
      </c>
      <c r="B16" s="32"/>
      <c r="C16" s="32"/>
      <c r="D16" s="32"/>
      <c r="E16" s="32"/>
    </row>
    <row r="17" customFormat="false" ht="15" hidden="false" customHeight="false" outlineLevel="0" collapsed="false">
      <c r="A17" s="2" t="s">
        <v>2</v>
      </c>
      <c r="B17" s="2" t="s">
        <v>3</v>
      </c>
      <c r="C17" s="2" t="s">
        <v>4</v>
      </c>
      <c r="D17" s="2" t="s">
        <v>107</v>
      </c>
      <c r="E17" s="2" t="s">
        <v>108</v>
      </c>
    </row>
    <row r="18" customFormat="false" ht="34.5" hidden="false" customHeight="true" outlineLevel="0" collapsed="false">
      <c r="A18" s="33" t="s">
        <v>120</v>
      </c>
      <c r="B18" s="34" t="n">
        <v>0</v>
      </c>
      <c r="C18" s="34" t="n">
        <v>0</v>
      </c>
      <c r="D18" s="35"/>
      <c r="E18" s="36" t="s">
        <v>121</v>
      </c>
    </row>
    <row r="19" customFormat="false" ht="34.5" hidden="false" customHeight="true" outlineLevel="0" collapsed="false">
      <c r="A19" s="33" t="s">
        <v>122</v>
      </c>
      <c r="B19" s="37" t="n">
        <v>130</v>
      </c>
      <c r="C19" s="37" t="n">
        <v>1410</v>
      </c>
      <c r="D19" s="35"/>
      <c r="E19" s="36" t="s">
        <v>123</v>
      </c>
    </row>
    <row r="20" customFormat="false" ht="34.5" hidden="false" customHeight="true" outlineLevel="0" collapsed="false">
      <c r="A20" s="33" t="s">
        <v>124</v>
      </c>
      <c r="B20" s="37" t="n">
        <v>49</v>
      </c>
      <c r="C20" s="37" t="n">
        <v>408</v>
      </c>
      <c r="D20" s="35"/>
      <c r="E20" s="36" t="s">
        <v>125</v>
      </c>
    </row>
    <row r="21" customFormat="false" ht="34.5" hidden="false" customHeight="true" outlineLevel="0" collapsed="false">
      <c r="A21" s="33" t="s">
        <v>94</v>
      </c>
      <c r="B21" s="37" t="n">
        <v>8</v>
      </c>
      <c r="C21" s="37" t="n">
        <v>96</v>
      </c>
      <c r="D21" s="35"/>
      <c r="E21" s="36" t="s">
        <v>126</v>
      </c>
    </row>
    <row r="22" customFormat="false" ht="30" hidden="false" customHeight="true" outlineLevel="0" collapsed="false">
      <c r="A22" s="38" t="s">
        <v>127</v>
      </c>
      <c r="B22" s="39" t="n">
        <f aca="false">SUM(B18:B21)</f>
        <v>187</v>
      </c>
      <c r="C22" s="39" t="n">
        <f aca="false">SUM(C18:C21)</f>
        <v>1914</v>
      </c>
      <c r="D22" s="30"/>
      <c r="E22" s="31" t="s">
        <v>128</v>
      </c>
    </row>
    <row r="24" customFormat="false" ht="15" hidden="false" customHeight="false" outlineLevel="0" collapsed="false">
      <c r="A24" s="40" t="s">
        <v>129</v>
      </c>
      <c r="B24" s="40"/>
      <c r="C24" s="40"/>
      <c r="D24" s="40"/>
      <c r="E24" s="40"/>
    </row>
    <row r="25" customFormat="false" ht="15" hidden="false" customHeight="false" outlineLevel="0" collapsed="false">
      <c r="A25" s="2" t="s">
        <v>2</v>
      </c>
      <c r="B25" s="2" t="s">
        <v>3</v>
      </c>
      <c r="C25" s="2" t="s">
        <v>4</v>
      </c>
      <c r="D25" s="2" t="s">
        <v>107</v>
      </c>
      <c r="E25" s="2" t="s">
        <v>108</v>
      </c>
    </row>
    <row r="26" customFormat="false" ht="30" hidden="false" customHeight="true" outlineLevel="0" collapsed="false">
      <c r="A26" s="21" t="s">
        <v>120</v>
      </c>
      <c r="B26" s="41" t="n">
        <v>0</v>
      </c>
      <c r="C26" s="41" t="n">
        <v>0</v>
      </c>
      <c r="D26" s="42"/>
      <c r="E26" s="23" t="s">
        <v>130</v>
      </c>
    </row>
    <row r="27" customFormat="false" ht="30" hidden="false" customHeight="true" outlineLevel="0" collapsed="false">
      <c r="A27" s="21" t="s">
        <v>122</v>
      </c>
      <c r="B27" s="43" t="n">
        <v>130</v>
      </c>
      <c r="C27" s="43" t="n">
        <v>1410</v>
      </c>
      <c r="D27" s="42"/>
      <c r="E27" s="23" t="s">
        <v>131</v>
      </c>
    </row>
    <row r="28" customFormat="false" ht="30" hidden="false" customHeight="true" outlineLevel="0" collapsed="false">
      <c r="A28" s="21" t="s">
        <v>132</v>
      </c>
      <c r="B28" s="43" t="n">
        <v>99</v>
      </c>
      <c r="C28" s="43" t="n">
        <v>828</v>
      </c>
      <c r="D28" s="42"/>
      <c r="E28" s="23" t="s">
        <v>133</v>
      </c>
    </row>
    <row r="29" customFormat="false" ht="30" hidden="false" customHeight="true" outlineLevel="0" collapsed="false">
      <c r="A29" s="21" t="s">
        <v>134</v>
      </c>
      <c r="B29" s="43" t="n">
        <v>39</v>
      </c>
      <c r="C29" s="43" t="n">
        <v>348</v>
      </c>
      <c r="D29" s="42"/>
      <c r="E29" s="23" t="s">
        <v>135</v>
      </c>
    </row>
    <row r="30" customFormat="false" ht="30" hidden="false" customHeight="true" outlineLevel="0" collapsed="false">
      <c r="A30" s="21" t="s">
        <v>136</v>
      </c>
      <c r="B30" s="43" t="n">
        <v>99</v>
      </c>
      <c r="C30" s="43" t="n">
        <v>1188</v>
      </c>
      <c r="D30" s="42"/>
      <c r="E30" s="23" t="s">
        <v>137</v>
      </c>
    </row>
    <row r="31" customFormat="false" ht="30" hidden="false" customHeight="true" outlineLevel="0" collapsed="false">
      <c r="A31" s="21" t="s">
        <v>94</v>
      </c>
      <c r="B31" s="43" t="n">
        <v>8</v>
      </c>
      <c r="C31" s="43" t="n">
        <v>96</v>
      </c>
      <c r="D31" s="42"/>
      <c r="E31" s="23" t="s">
        <v>138</v>
      </c>
    </row>
    <row r="32" customFormat="false" ht="30" hidden="false" customHeight="true" outlineLevel="0" collapsed="false">
      <c r="A32" s="21" t="s">
        <v>100</v>
      </c>
      <c r="B32" s="43" t="n">
        <v>13</v>
      </c>
      <c r="C32" s="43" t="n">
        <v>120</v>
      </c>
      <c r="D32" s="42"/>
      <c r="E32" s="23" t="s">
        <v>139</v>
      </c>
    </row>
    <row r="33" customFormat="false" ht="30" hidden="false" customHeight="true" outlineLevel="0" collapsed="false">
      <c r="A33" s="44" t="s">
        <v>140</v>
      </c>
      <c r="B33" s="45" t="n">
        <f aca="false">SUM(B26:B32)</f>
        <v>388</v>
      </c>
      <c r="C33" s="45" t="n">
        <f aca="false">SUM(C26:C32)</f>
        <v>3990</v>
      </c>
      <c r="D33" s="30"/>
      <c r="E33" s="31" t="s">
        <v>141</v>
      </c>
    </row>
  </sheetData>
  <mergeCells count="4">
    <mergeCell ref="A1:E1"/>
    <mergeCell ref="A3:E3"/>
    <mergeCell ref="A16:E16"/>
    <mergeCell ref="A24: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5" min="2" style="0" width="18"/>
    <col collapsed="false" customWidth="true" hidden="false" outlineLevel="0" max="6" min="6" style="0" width="22"/>
  </cols>
  <sheetData>
    <row r="1" customFormat="false" ht="34.5" hidden="false" customHeight="true" outlineLevel="0" collapsed="false">
      <c r="A1" s="1" t="s">
        <v>142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46" t="s">
        <v>143</v>
      </c>
    </row>
    <row r="4" customFormat="false" ht="15" hidden="false" customHeight="false" outlineLevel="0" collapsed="false">
      <c r="A4" s="47" t="s">
        <v>144</v>
      </c>
    </row>
    <row r="5" customFormat="false" ht="15" hidden="false" customHeight="false" outlineLevel="0" collapsed="false">
      <c r="A5" s="47" t="s">
        <v>145</v>
      </c>
    </row>
    <row r="7" customFormat="false" ht="39.75" hidden="false" customHeight="true" outlineLevel="0" collapsed="false">
      <c r="A7" s="2" t="s">
        <v>146</v>
      </c>
      <c r="B7" s="2" t="s">
        <v>147</v>
      </c>
      <c r="C7" s="2" t="s">
        <v>148</v>
      </c>
      <c r="D7" s="2" t="s">
        <v>149</v>
      </c>
      <c r="E7" s="2" t="s">
        <v>150</v>
      </c>
      <c r="F7" s="2" t="s">
        <v>151</v>
      </c>
    </row>
    <row r="8" customFormat="false" ht="34.5" hidden="false" customHeight="true" outlineLevel="0" collapsed="false">
      <c r="A8" s="33" t="s">
        <v>152</v>
      </c>
      <c r="B8" s="37" t="n">
        <v>130</v>
      </c>
      <c r="C8" s="48" t="n">
        <v>400</v>
      </c>
      <c r="D8" s="49" t="n">
        <v>0.6</v>
      </c>
      <c r="E8" s="50" t="n">
        <f aca="false">ROUNDUP(B8/(C8*D8),0)</f>
        <v>1</v>
      </c>
      <c r="F8" s="51" t="str">
        <f aca="false">E8&amp;" conversion(s)/mois"</f>
        <v>1 conversion(s)/mois</v>
      </c>
    </row>
    <row r="9" customFormat="false" ht="34.5" hidden="false" customHeight="true" outlineLevel="0" collapsed="false">
      <c r="A9" s="13" t="s">
        <v>153</v>
      </c>
      <c r="B9" s="52" t="n">
        <v>130</v>
      </c>
      <c r="C9" s="53" t="n">
        <v>75</v>
      </c>
      <c r="D9" s="54" t="n">
        <v>0.4</v>
      </c>
      <c r="E9" s="55" t="n">
        <f aca="false">ROUNDUP(B9/(C9*D9),0)</f>
        <v>5</v>
      </c>
      <c r="F9" s="16" t="str">
        <f aca="false">E9&amp;" conversion(s)/mois"</f>
        <v>5 conversion(s)/mois</v>
      </c>
    </row>
    <row r="10" customFormat="false" ht="34.5" hidden="false" customHeight="true" outlineLevel="0" collapsed="false">
      <c r="A10" s="33" t="s">
        <v>154</v>
      </c>
      <c r="B10" s="37" t="n">
        <v>49</v>
      </c>
      <c r="C10" s="48" t="n">
        <v>400</v>
      </c>
      <c r="D10" s="49" t="n">
        <v>0.6</v>
      </c>
      <c r="E10" s="50" t="n">
        <f aca="false">ROUNDUP(B10/(C10*D10),0)</f>
        <v>1</v>
      </c>
      <c r="F10" s="51" t="str">
        <f aca="false">E10&amp;" conversion(s)/mois"</f>
        <v>1 conversion(s)/mois</v>
      </c>
    </row>
    <row r="11" customFormat="false" ht="34.5" hidden="false" customHeight="true" outlineLevel="0" collapsed="false">
      <c r="A11" s="13" t="s">
        <v>155</v>
      </c>
      <c r="B11" s="52" t="n">
        <v>49</v>
      </c>
      <c r="C11" s="53" t="n">
        <v>75</v>
      </c>
      <c r="D11" s="54" t="n">
        <v>0.4</v>
      </c>
      <c r="E11" s="55" t="n">
        <f aca="false">ROUNDUP(B11/(C11*D11),0)</f>
        <v>2</v>
      </c>
      <c r="F11" s="16" t="str">
        <f aca="false">E11&amp;" conversion(s)/mois"</f>
        <v>2 conversion(s)/mois</v>
      </c>
    </row>
    <row r="12" customFormat="false" ht="34.5" hidden="false" customHeight="true" outlineLevel="0" collapsed="false">
      <c r="A12" s="9" t="s">
        <v>156</v>
      </c>
      <c r="B12" s="56" t="n">
        <v>39</v>
      </c>
      <c r="C12" s="57" t="n">
        <v>400</v>
      </c>
      <c r="D12" s="58" t="n">
        <v>0.6</v>
      </c>
      <c r="E12" s="59" t="n">
        <f aca="false">ROUNDUP(B12/(C12*D12),0)</f>
        <v>1</v>
      </c>
      <c r="F12" s="12" t="str">
        <f aca="false">E12&amp;" conversion(s)/mois"</f>
        <v>1 conversion(s)/mois</v>
      </c>
    </row>
    <row r="13" customFormat="false" ht="34.5" hidden="false" customHeight="true" outlineLevel="0" collapsed="false">
      <c r="A13" s="4" t="s">
        <v>94</v>
      </c>
      <c r="B13" s="60" t="n">
        <v>8</v>
      </c>
      <c r="C13" s="61" t="n">
        <v>400</v>
      </c>
      <c r="D13" s="62" t="n">
        <v>0.6</v>
      </c>
      <c r="E13" s="63" t="n">
        <f aca="false">ROUNDUP(B13/(C13*D13),0)</f>
        <v>1</v>
      </c>
      <c r="F13" s="7" t="str">
        <f aca="false">E13&amp;" conversion(s)/mois"</f>
        <v>1 conversion(s)/mois</v>
      </c>
    </row>
    <row r="15" customFormat="false" ht="15" hidden="false" customHeight="false" outlineLevel="0" collapsed="false">
      <c r="A15" s="64" t="s">
        <v>157</v>
      </c>
    </row>
    <row r="16" customFormat="false" ht="15" hidden="false" customHeight="false" outlineLevel="0" collapsed="false">
      <c r="A16" s="65" t="s">
        <v>158</v>
      </c>
      <c r="B16" s="65"/>
      <c r="C16" s="65"/>
      <c r="D16" s="65"/>
      <c r="E16" s="65"/>
      <c r="F16" s="65"/>
    </row>
    <row r="17" customFormat="false" ht="15" hidden="false" customHeight="false" outlineLevel="0" collapsed="false">
      <c r="A17" s="65" t="s">
        <v>159</v>
      </c>
      <c r="B17" s="65"/>
      <c r="C17" s="65"/>
      <c r="D17" s="65"/>
      <c r="E17" s="65"/>
      <c r="F17" s="65"/>
    </row>
    <row r="18" customFormat="false" ht="15" hidden="false" customHeight="false" outlineLevel="0" collapsed="false">
      <c r="A18" s="65" t="s">
        <v>160</v>
      </c>
      <c r="B18" s="65"/>
      <c r="C18" s="65"/>
      <c r="D18" s="65"/>
      <c r="E18" s="65"/>
      <c r="F18" s="65"/>
    </row>
    <row r="19" customFormat="false" ht="15" hidden="false" customHeight="false" outlineLevel="0" collapsed="false">
      <c r="A19" s="65" t="s">
        <v>161</v>
      </c>
      <c r="B19" s="65"/>
      <c r="C19" s="65"/>
      <c r="D19" s="65"/>
      <c r="E19" s="65"/>
      <c r="F19" s="65"/>
    </row>
    <row r="21" customFormat="false" ht="15" hidden="false" customHeight="false" outlineLevel="0" collapsed="false">
      <c r="A21" s="66" t="s">
        <v>162</v>
      </c>
      <c r="B21" s="66"/>
      <c r="C21" s="66"/>
      <c r="D21" s="66"/>
      <c r="E21" s="66"/>
      <c r="F21" s="66"/>
    </row>
    <row r="22" customFormat="false" ht="15" hidden="false" customHeight="false" outlineLevel="0" collapsed="false">
      <c r="A22" s="67" t="s">
        <v>163</v>
      </c>
      <c r="B22" s="67"/>
      <c r="C22" s="67"/>
      <c r="D22" s="67"/>
      <c r="E22" s="67"/>
      <c r="F22" s="67"/>
    </row>
  </sheetData>
  <mergeCells count="7">
    <mergeCell ref="A1:F1"/>
    <mergeCell ref="A16:F16"/>
    <mergeCell ref="A17:F17"/>
    <mergeCell ref="A18:F18"/>
    <mergeCell ref="A19:F19"/>
    <mergeCell ref="A21:F21"/>
    <mergeCell ref="A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2026-03-27T00:59:11Z</dcterms:created>
  <dc:creator>openpyxl</dc:creator>
  <dc:description/>
  <dc:language>en-US</dc:language>
  <cp:lastModifiedBy/>
  <dcterms:modified xsi:type="dcterms:W3CDTF">2026-03-27T00:59:11Z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